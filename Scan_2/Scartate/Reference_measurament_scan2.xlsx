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Desktop\Borsa\Technical\Ex_2\"/>
    </mc:Choice>
  </mc:AlternateContent>
  <xr:revisionPtr revIDLastSave="0" documentId="13_ncr:1_{E13C2A18-2DA8-4607-993D-6B52274C8073}" xr6:coauthVersionLast="47" xr6:coauthVersionMax="47" xr10:uidLastSave="{00000000-0000-0000-0000-000000000000}"/>
  <bookViews>
    <workbookView xWindow="-108" yWindow="-108" windowWidth="23256" windowHeight="12456" xr2:uid="{8C73D1BD-8B10-4033-9674-3145B98FEDC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G15" i="1"/>
  <c r="C15" i="1"/>
  <c r="C16" i="1"/>
  <c r="C17" i="1"/>
  <c r="C18" i="1"/>
  <c r="C19" i="1"/>
  <c r="C14" i="1"/>
  <c r="B16" i="1"/>
  <c r="B17" i="1"/>
  <c r="B18" i="1"/>
  <c r="B19" i="1"/>
  <c r="B14" i="1"/>
  <c r="G16" i="1"/>
  <c r="G14" i="1"/>
</calcChain>
</file>

<file path=xl/sharedStrings.xml><?xml version="1.0" encoding="utf-8"?>
<sst xmlns="http://schemas.openxmlformats.org/spreadsheetml/2006/main" count="49" uniqueCount="27">
  <si>
    <t>ELECTRODES</t>
  </si>
  <si>
    <t>POSITION_VALUE_X</t>
  </si>
  <si>
    <t>POSITION_VALUE_Y</t>
  </si>
  <si>
    <t>SLEEVE_MEASUREMENT</t>
  </si>
  <si>
    <t>MEASUREMENT_VALUE</t>
  </si>
  <si>
    <t>Electrode ECR1</t>
  </si>
  <si>
    <t>ECR Electrode 1</t>
  </si>
  <si>
    <t>Wrist's circumference length</t>
  </si>
  <si>
    <t>Elbow</t>
  </si>
  <si>
    <t>Electrode ECR2</t>
  </si>
  <si>
    <t>ECR Electrode 2</t>
  </si>
  <si>
    <t>Elbow's circumference length</t>
  </si>
  <si>
    <t>Wrist</t>
  </si>
  <si>
    <t>Electrode FCR1</t>
  </si>
  <si>
    <t>FCR Electrode 1</t>
  </si>
  <si>
    <t>Forearm's length</t>
  </si>
  <si>
    <t>Electrode FCR2</t>
  </si>
  <si>
    <t>FCR Electrode 2</t>
  </si>
  <si>
    <t>Reference SU</t>
  </si>
  <si>
    <t>Reference EM</t>
  </si>
  <si>
    <t>Section</t>
  </si>
  <si>
    <t>Segment Number</t>
  </si>
  <si>
    <t>Cut line</t>
  </si>
  <si>
    <t>Reduction Factor W</t>
  </si>
  <si>
    <t>Reduction Factor L</t>
  </si>
  <si>
    <r>
      <t>ε</t>
    </r>
    <r>
      <rPr>
        <b/>
        <vertAlign val="subscript"/>
        <sz val="11"/>
        <color theme="1"/>
        <rFont val="Aptos Narrow"/>
        <family val="2"/>
        <scheme val="minor"/>
      </rPr>
      <t>W</t>
    </r>
  </si>
  <si>
    <r>
      <t>ε</t>
    </r>
    <r>
      <rPr>
        <b/>
        <vertAlign val="subscript"/>
        <sz val="11"/>
        <color theme="1"/>
        <rFont val="Aptos Narrow"/>
        <family val="2"/>
        <scheme val="minor"/>
      </rPr>
      <t>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</si>
</sst>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4" xfId="0" applyFont="1" applyBorder="1"/>
    <xf numFmtId="0" fontId="0" fillId="0" borderId="5" xfId="0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0" fillId="0" borderId="14" xfId="0" applyBorder="1"/>
    <xf numFmtId="0" fontId="2" fillId="0" borderId="0" xfId="0" applyFont="1"/>
    <xf numFmtId="1" fontId="0" fillId="0" borderId="5" xfId="0" applyNumberFormat="1" applyBorder="1"/>
    <xf numFmtId="1" fontId="0" fillId="0" borderId="8" xfId="0" applyNumberFormat="1" applyBorder="1"/>
    <xf numFmtId="1" fontId="0" fillId="0" borderId="0" xfId="0" applyNumberFormat="1"/>
    <xf numFmtId="1" fontId="0" fillId="0" borderId="7" xfId="0" applyNumberForma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9600-C05A-421B-AFD9-800B2B954096}">
  <dimension ref="A1:J19"/>
  <sheetViews>
    <sheetView tabSelected="1" workbookViewId="0">
      <selection activeCell="D15" sqref="D15"/>
    </sheetView>
  </sheetViews>
  <sheetFormatPr defaultRowHeight="14.4" x14ac:dyDescent="0.3"/>
  <cols>
    <col min="1" max="1" width="13.44140625" bestFit="1" customWidth="1"/>
    <col min="2" max="3" width="16.88671875" bestFit="1" customWidth="1"/>
    <col min="4" max="4" width="16.77734375" bestFit="1" customWidth="1"/>
    <col min="5" max="5" width="13.77734375" bestFit="1" customWidth="1"/>
    <col min="6" max="6" width="24.77734375" bestFit="1" customWidth="1"/>
    <col min="7" max="7" width="19.88671875" bestFit="1" customWidth="1"/>
    <col min="9" max="9" width="15.5546875" bestFit="1" customWidth="1"/>
    <col min="10" max="10" width="13.77734375" bestFit="1" customWidth="1"/>
    <col min="12" max="12" width="7.44140625" bestFit="1" customWidth="1"/>
    <col min="13" max="13" width="13.77734375" bestFit="1" customWidth="1"/>
  </cols>
  <sheetData>
    <row r="1" spans="1:10" ht="15" thickBot="1" x14ac:dyDescent="0.35">
      <c r="A1" s="10" t="s">
        <v>0</v>
      </c>
      <c r="B1" s="11" t="s">
        <v>1</v>
      </c>
      <c r="C1" s="11" t="s">
        <v>2</v>
      </c>
      <c r="D1" s="11" t="s">
        <v>21</v>
      </c>
      <c r="E1" s="12" t="s">
        <v>20</v>
      </c>
      <c r="F1" s="10" t="s">
        <v>3</v>
      </c>
      <c r="G1" s="12" t="s">
        <v>4</v>
      </c>
    </row>
    <row r="2" spans="1:10" ht="15" thickBot="1" x14ac:dyDescent="0.35">
      <c r="A2" s="2" t="s">
        <v>5</v>
      </c>
      <c r="B2" s="17">
        <v>173</v>
      </c>
      <c r="C2" s="17">
        <v>40</v>
      </c>
      <c r="D2">
        <v>126</v>
      </c>
      <c r="E2" s="3" t="s">
        <v>6</v>
      </c>
      <c r="F2" s="2" t="s">
        <v>7</v>
      </c>
      <c r="G2" s="15">
        <v>165</v>
      </c>
      <c r="I2" s="19" t="s">
        <v>22</v>
      </c>
      <c r="J2" s="20"/>
    </row>
    <row r="3" spans="1:10" ht="15" thickBot="1" x14ac:dyDescent="0.35">
      <c r="A3" s="2" t="s">
        <v>9</v>
      </c>
      <c r="B3" s="17">
        <v>180</v>
      </c>
      <c r="C3" s="17">
        <v>69</v>
      </c>
      <c r="D3">
        <v>95</v>
      </c>
      <c r="E3" s="3" t="s">
        <v>10</v>
      </c>
      <c r="F3" s="2" t="s">
        <v>11</v>
      </c>
      <c r="G3" s="15">
        <v>260</v>
      </c>
      <c r="I3" s="7" t="s">
        <v>21</v>
      </c>
      <c r="J3" s="7" t="s">
        <v>20</v>
      </c>
    </row>
    <row r="4" spans="1:10" ht="15" thickBot="1" x14ac:dyDescent="0.35">
      <c r="A4" s="2" t="s">
        <v>13</v>
      </c>
      <c r="B4" s="17">
        <v>24.52</v>
      </c>
      <c r="C4" s="17">
        <v>70.900000000000006</v>
      </c>
      <c r="D4">
        <v>76</v>
      </c>
      <c r="E4" s="3" t="s">
        <v>14</v>
      </c>
      <c r="F4" s="4" t="s">
        <v>15</v>
      </c>
      <c r="G4" s="16">
        <v>253</v>
      </c>
      <c r="I4" s="13">
        <v>178</v>
      </c>
      <c r="J4" s="8" t="s">
        <v>8</v>
      </c>
    </row>
    <row r="5" spans="1:10" x14ac:dyDescent="0.3">
      <c r="A5" s="2" t="s">
        <v>16</v>
      </c>
      <c r="B5" s="17">
        <v>22.75</v>
      </c>
      <c r="C5" s="17">
        <v>40.799999999999997</v>
      </c>
      <c r="D5">
        <v>178</v>
      </c>
      <c r="E5" s="3" t="s">
        <v>17</v>
      </c>
      <c r="I5" s="8">
        <v>30</v>
      </c>
      <c r="J5" s="8" t="s">
        <v>12</v>
      </c>
    </row>
    <row r="6" spans="1:10" x14ac:dyDescent="0.3">
      <c r="A6" s="2" t="s">
        <v>18</v>
      </c>
      <c r="B6" s="17">
        <v>21</v>
      </c>
      <c r="C6" s="17"/>
      <c r="D6">
        <v>100</v>
      </c>
      <c r="E6" s="3" t="s">
        <v>12</v>
      </c>
      <c r="I6" s="8">
        <v>14</v>
      </c>
      <c r="J6" s="8" t="s">
        <v>14</v>
      </c>
    </row>
    <row r="7" spans="1:10" ht="15" thickBot="1" x14ac:dyDescent="0.35">
      <c r="A7" s="4" t="s">
        <v>19</v>
      </c>
      <c r="B7" s="18">
        <v>20</v>
      </c>
      <c r="C7" s="18">
        <v>0</v>
      </c>
      <c r="D7" s="5">
        <v>109</v>
      </c>
      <c r="E7" s="6" t="s">
        <v>8</v>
      </c>
      <c r="I7" s="8">
        <v>162</v>
      </c>
      <c r="J7" s="8" t="s">
        <v>17</v>
      </c>
    </row>
    <row r="8" spans="1:10" x14ac:dyDescent="0.3">
      <c r="I8" s="8">
        <v>14</v>
      </c>
      <c r="J8" s="8" t="s">
        <v>6</v>
      </c>
    </row>
    <row r="9" spans="1:10" ht="16.2" thickBot="1" x14ac:dyDescent="0.4">
      <c r="A9" s="1" t="s">
        <v>25</v>
      </c>
      <c r="B9" s="1" t="s">
        <v>26</v>
      </c>
      <c r="C9" s="1" t="s">
        <v>23</v>
      </c>
      <c r="D9" s="1" t="s">
        <v>24</v>
      </c>
      <c r="I9" s="9">
        <v>165</v>
      </c>
      <c r="J9" s="9" t="s">
        <v>10</v>
      </c>
    </row>
    <row r="10" spans="1:10" x14ac:dyDescent="0.3">
      <c r="A10">
        <v>0.05</v>
      </c>
      <c r="B10">
        <v>0</v>
      </c>
      <c r="C10">
        <v>0.95</v>
      </c>
      <c r="D10">
        <v>1</v>
      </c>
    </row>
    <row r="12" spans="1:10" ht="15" thickBot="1" x14ac:dyDescent="0.35"/>
    <row r="13" spans="1:10" ht="15" thickBot="1" x14ac:dyDescent="0.35">
      <c r="A13" s="10" t="s">
        <v>0</v>
      </c>
      <c r="B13" s="11" t="s">
        <v>1</v>
      </c>
      <c r="C13" s="12" t="s">
        <v>2</v>
      </c>
      <c r="F13" s="10" t="s">
        <v>3</v>
      </c>
      <c r="G13" s="12" t="s">
        <v>4</v>
      </c>
    </row>
    <row r="14" spans="1:10" ht="15.6" x14ac:dyDescent="0.35">
      <c r="A14" s="2" t="s">
        <v>5</v>
      </c>
      <c r="B14" s="17">
        <f>B2*$C$10</f>
        <v>164.35</v>
      </c>
      <c r="C14" s="15">
        <f>C2</f>
        <v>40</v>
      </c>
      <c r="D14" s="14"/>
      <c r="F14" s="2" t="s">
        <v>7</v>
      </c>
      <c r="G14" s="15">
        <f>G2*$C$10</f>
        <v>156.75</v>
      </c>
    </row>
    <row r="15" spans="1:10" x14ac:dyDescent="0.3">
      <c r="A15" s="2" t="s">
        <v>9</v>
      </c>
      <c r="B15" s="17">
        <f>B3*$C$10</f>
        <v>171</v>
      </c>
      <c r="C15" s="15">
        <f t="shared" ref="C15:C19" si="0">C3</f>
        <v>69</v>
      </c>
      <c r="F15" s="2" t="s">
        <v>11</v>
      </c>
      <c r="G15" s="15">
        <f>G3*$C$10</f>
        <v>247</v>
      </c>
    </row>
    <row r="16" spans="1:10" ht="15" thickBot="1" x14ac:dyDescent="0.35">
      <c r="A16" s="2" t="s">
        <v>13</v>
      </c>
      <c r="B16" s="17">
        <f t="shared" ref="B15:B19" si="1">B4*$C$10</f>
        <v>23.293999999999997</v>
      </c>
      <c r="C16" s="15">
        <f t="shared" si="0"/>
        <v>70.900000000000006</v>
      </c>
      <c r="F16" s="4" t="s">
        <v>15</v>
      </c>
      <c r="G16" s="16">
        <f>G4</f>
        <v>253</v>
      </c>
    </row>
    <row r="17" spans="1:3" x14ac:dyDescent="0.3">
      <c r="A17" s="2" t="s">
        <v>16</v>
      </c>
      <c r="B17" s="17">
        <f t="shared" si="1"/>
        <v>21.612500000000001</v>
      </c>
      <c r="C17" s="15">
        <f t="shared" si="0"/>
        <v>40.799999999999997</v>
      </c>
    </row>
    <row r="18" spans="1:3" x14ac:dyDescent="0.3">
      <c r="A18" s="2" t="s">
        <v>18</v>
      </c>
      <c r="B18" s="17">
        <f t="shared" si="1"/>
        <v>19.95</v>
      </c>
      <c r="C18" s="15">
        <f t="shared" si="0"/>
        <v>0</v>
      </c>
    </row>
    <row r="19" spans="1:3" ht="15" thickBot="1" x14ac:dyDescent="0.35">
      <c r="A19" s="4" t="s">
        <v>19</v>
      </c>
      <c r="B19" s="18">
        <f t="shared" si="1"/>
        <v>19</v>
      </c>
      <c r="C19" s="16">
        <f t="shared" si="0"/>
        <v>0</v>
      </c>
    </row>
  </sheetData>
  <mergeCells count="1"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 BIOENGINEERING</dc:creator>
  <cp:lastModifiedBy>Antonio Rossi</cp:lastModifiedBy>
  <dcterms:created xsi:type="dcterms:W3CDTF">2024-12-11T18:35:06Z</dcterms:created>
  <dcterms:modified xsi:type="dcterms:W3CDTF">2025-10-20T13:40:51Z</dcterms:modified>
</cp:coreProperties>
</file>